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xWindow="0" yWindow="0" windowWidth="10215" windowHeight="25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3" i="1"/>
  <c r="H4" i="1"/>
  <c r="H6" i="1"/>
  <c r="H8" i="1"/>
  <c r="H10" i="1"/>
  <c r="H12" i="1"/>
  <c r="H14" i="1"/>
  <c r="H16" i="1"/>
  <c r="H18" i="1"/>
  <c r="H20" i="1"/>
  <c r="H22" i="1"/>
  <c r="H24" i="1"/>
  <c r="H3" i="1"/>
  <c r="F4" i="1"/>
  <c r="F5" i="1"/>
  <c r="H5" i="1" s="1"/>
  <c r="F6" i="1"/>
  <c r="F7" i="1"/>
  <c r="H7" i="1" s="1"/>
  <c r="F8" i="1"/>
  <c r="F9" i="1"/>
  <c r="H9" i="1" s="1"/>
  <c r="F10" i="1"/>
  <c r="F11" i="1"/>
  <c r="H11" i="1" s="1"/>
  <c r="F12" i="1"/>
  <c r="F13" i="1"/>
  <c r="H13" i="1" s="1"/>
  <c r="F14" i="1"/>
  <c r="F15" i="1"/>
  <c r="H15" i="1" s="1"/>
  <c r="F16" i="1"/>
  <c r="F17" i="1"/>
  <c r="H17" i="1" s="1"/>
  <c r="F18" i="1"/>
  <c r="F19" i="1"/>
  <c r="H19" i="1" s="1"/>
  <c r="F20" i="1"/>
  <c r="F21" i="1"/>
  <c r="H21" i="1" s="1"/>
  <c r="F22" i="1"/>
  <c r="F23" i="1"/>
  <c r="H23" i="1" s="1"/>
  <c r="F24" i="1"/>
  <c r="F25" i="1"/>
  <c r="H25" i="1" s="1"/>
  <c r="F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3" i="1"/>
</calcChain>
</file>

<file path=xl/sharedStrings.xml><?xml version="1.0" encoding="utf-8"?>
<sst xmlns="http://schemas.openxmlformats.org/spreadsheetml/2006/main" count="180" uniqueCount="80">
  <si>
    <t>EMPLOYEE PAYROLE</t>
  </si>
  <si>
    <t>FIRST NAME</t>
  </si>
  <si>
    <t>LAST NAME</t>
  </si>
  <si>
    <t xml:space="preserve">HOWARD </t>
  </si>
  <si>
    <t>KEN</t>
  </si>
  <si>
    <t>DONALD</t>
  </si>
  <si>
    <t>HANDANSON</t>
  </si>
  <si>
    <t>SMIRT</t>
  </si>
  <si>
    <t>BAAKAY</t>
  </si>
  <si>
    <t>VALDAN</t>
  </si>
  <si>
    <t>YOUNG</t>
  </si>
  <si>
    <t>PENFORD</t>
  </si>
  <si>
    <t>DALIGTON</t>
  </si>
  <si>
    <t>BLESSING</t>
  </si>
  <si>
    <t>NORMAL</t>
  </si>
  <si>
    <t>MAN</t>
  </si>
  <si>
    <t>UNDERHILL</t>
  </si>
  <si>
    <t>GABRIE</t>
  </si>
  <si>
    <t>CHIMA</t>
  </si>
  <si>
    <t xml:space="preserve"> HOURLY WARGE</t>
  </si>
  <si>
    <t>HOURS WORKS FOR WEEK</t>
  </si>
  <si>
    <t>PAY</t>
  </si>
  <si>
    <t>OVER TIME HOURS</t>
  </si>
  <si>
    <t>OVER TIME BONUS</t>
  </si>
  <si>
    <t>OBIMA</t>
  </si>
  <si>
    <t>ROWLAND</t>
  </si>
  <si>
    <t>ERIC</t>
  </si>
  <si>
    <t>JOY</t>
  </si>
  <si>
    <t>MELIDY</t>
  </si>
  <si>
    <t>DUKE</t>
  </si>
  <si>
    <t>TRUMP</t>
  </si>
  <si>
    <t>BUSH</t>
  </si>
  <si>
    <t>GEORGE</t>
  </si>
  <si>
    <t>LORD</t>
  </si>
  <si>
    <t>MELFORD</t>
  </si>
  <si>
    <t>HENRY</t>
  </si>
  <si>
    <t>GEORGE-BUSH</t>
  </si>
  <si>
    <t>THOMAS</t>
  </si>
  <si>
    <t>MANS</t>
  </si>
  <si>
    <t>PRINCEWILL</t>
  </si>
  <si>
    <t>GABRIELA</t>
  </si>
  <si>
    <t>OGACHI'</t>
  </si>
  <si>
    <t>DIMA</t>
  </si>
  <si>
    <t>OBOMATE</t>
  </si>
  <si>
    <t>FYNEFACE</t>
  </si>
  <si>
    <t>WEALTH</t>
  </si>
  <si>
    <t>RICH</t>
  </si>
  <si>
    <t>KALU</t>
  </si>
  <si>
    <t>PRAISE</t>
  </si>
  <si>
    <t>DUKO</t>
  </si>
  <si>
    <t>CHOICE</t>
  </si>
  <si>
    <t>CLIFFORD</t>
  </si>
  <si>
    <t>MARK</t>
  </si>
  <si>
    <t>TOTAL PAY</t>
  </si>
  <si>
    <t xml:space="preserve">GROSS PAY </t>
  </si>
  <si>
    <t xml:space="preserve">TAY PAY </t>
  </si>
  <si>
    <t>PENSION/INSURANCE</t>
  </si>
  <si>
    <t>TOTAL DEDUCTION</t>
  </si>
  <si>
    <t>NET PAY</t>
  </si>
  <si>
    <t>PAYMENT STATUES</t>
  </si>
  <si>
    <t>PAID</t>
  </si>
  <si>
    <t>PAYMENT METHOD</t>
  </si>
  <si>
    <t>BANK TRANSFER</t>
  </si>
  <si>
    <t>PAY PERIOD DAY</t>
  </si>
  <si>
    <t>31/3/2026</t>
  </si>
  <si>
    <t>31/2/2026</t>
  </si>
  <si>
    <t>REMARK</t>
  </si>
  <si>
    <t>OVERTIME INCLUDED</t>
  </si>
  <si>
    <t>UDERTIME</t>
  </si>
  <si>
    <t>HIGHEROVERTIME</t>
  </si>
  <si>
    <t xml:space="preserve">UDERTIME </t>
  </si>
  <si>
    <t>UNDERTIME</t>
  </si>
  <si>
    <t xml:space="preserve">STARNDARD WEEK </t>
  </si>
  <si>
    <t>DEPARTMENT</t>
  </si>
  <si>
    <t>IT</t>
  </si>
  <si>
    <t>HR</t>
  </si>
  <si>
    <t>FINANCE</t>
  </si>
  <si>
    <t>SALES</t>
  </si>
  <si>
    <t>ADMIN</t>
  </si>
  <si>
    <t>FINACE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</si>
</sst>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tabSelected="1" zoomScale="70" zoomScaleNormal="70" workbookViewId="0">
      <selection activeCell="C25" sqref="C25"/>
    </sheetView>
  </sheetViews>
  <sheetFormatPr defaultRowHeight="15" x14ac:dyDescent="0.25"/>
  <cols>
    <col min="1" max="1" width="22.42578125" customWidth="1"/>
    <col min="2" max="2" width="16.7109375" customWidth="1"/>
    <col min="3" max="3" width="15" bestFit="1" customWidth="1"/>
    <col min="4" max="4" width="17.5703125" customWidth="1"/>
    <col min="5" max="5" width="16.85546875" customWidth="1"/>
    <col min="6" max="6" width="13.85546875" style="2" customWidth="1"/>
    <col min="7" max="7" width="18.42578125" customWidth="1"/>
    <col min="8" max="8" width="18.28515625" customWidth="1"/>
    <col min="9" max="9" width="18.7109375" customWidth="1"/>
    <col min="10" max="10" width="18.42578125" customWidth="1"/>
    <col min="11" max="11" width="16.28515625" customWidth="1"/>
    <col min="12" max="12" width="21" customWidth="1"/>
    <col min="13" max="13" width="26.140625" customWidth="1"/>
    <col min="14" max="14" width="22.5703125" customWidth="1"/>
    <col min="15" max="15" width="21.140625" customWidth="1"/>
    <col min="16" max="16" width="19" customWidth="1"/>
    <col min="17" max="17" width="22.85546875" customWidth="1"/>
    <col min="18" max="18" width="22.5703125" customWidth="1"/>
  </cols>
  <sheetData>
    <row r="1" spans="1:18" x14ac:dyDescent="0.25">
      <c r="A1" t="s">
        <v>0</v>
      </c>
    </row>
    <row r="2" spans="1:18" x14ac:dyDescent="0.25">
      <c r="A2" t="s">
        <v>1</v>
      </c>
      <c r="B2" t="s">
        <v>2</v>
      </c>
      <c r="C2" t="s">
        <v>73</v>
      </c>
      <c r="D2" t="s">
        <v>19</v>
      </c>
      <c r="E2" t="s">
        <v>20</v>
      </c>
      <c r="F2" s="2" t="s">
        <v>22</v>
      </c>
      <c r="G2" t="s">
        <v>21</v>
      </c>
      <c r="H2" t="s">
        <v>23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61</v>
      </c>
      <c r="Q2" t="s">
        <v>63</v>
      </c>
      <c r="R2" t="s">
        <v>66</v>
      </c>
    </row>
    <row r="3" spans="1:18" x14ac:dyDescent="0.25">
      <c r="A3" t="s">
        <v>3</v>
      </c>
      <c r="B3" t="s">
        <v>25</v>
      </c>
      <c r="C3" t="s">
        <v>74</v>
      </c>
      <c r="D3" s="1">
        <v>20</v>
      </c>
      <c r="E3">
        <v>41</v>
      </c>
      <c r="F3" s="2">
        <f>IF(E3&gt;40,E3-40,0)</f>
        <v>1</v>
      </c>
      <c r="G3" s="1">
        <f>D3*E3</f>
        <v>820</v>
      </c>
      <c r="H3" s="1">
        <f>F3*D3*1.5</f>
        <v>30</v>
      </c>
      <c r="I3" s="1">
        <f>(40*D3)+(F3*D3*1.5)</f>
        <v>830</v>
      </c>
      <c r="J3" s="1">
        <f>G3+H3</f>
        <v>850</v>
      </c>
      <c r="K3" s="1">
        <f>I3*0.1</f>
        <v>83</v>
      </c>
      <c r="L3" s="1">
        <f>I3*0.05</f>
        <v>41.5</v>
      </c>
      <c r="M3" s="1">
        <f>J3+K3</f>
        <v>933</v>
      </c>
      <c r="N3" s="1">
        <f>I3-L3</f>
        <v>788.5</v>
      </c>
      <c r="O3" t="s">
        <v>60</v>
      </c>
      <c r="P3" t="s">
        <v>62</v>
      </c>
      <c r="Q3" t="s">
        <v>64</v>
      </c>
      <c r="R3" t="s">
        <v>67</v>
      </c>
    </row>
    <row r="4" spans="1:18" x14ac:dyDescent="0.25">
      <c r="A4" t="s">
        <v>4</v>
      </c>
      <c r="B4" t="s">
        <v>26</v>
      </c>
      <c r="C4" t="s">
        <v>75</v>
      </c>
      <c r="D4" s="1">
        <v>20</v>
      </c>
      <c r="E4">
        <v>42</v>
      </c>
      <c r="F4" s="2">
        <f t="shared" ref="F4:F25" si="0">IF(E4&gt;40,E4-40,0)</f>
        <v>2</v>
      </c>
      <c r="G4" s="1">
        <f t="shared" ref="G4:G25" si="1">D4*E4</f>
        <v>840</v>
      </c>
      <c r="H4" s="1">
        <f t="shared" ref="H4:H25" si="2">F4*D4*1.5</f>
        <v>60</v>
      </c>
      <c r="I4" s="1">
        <f t="shared" ref="I4:I25" si="3">(40*D4)+(F4*D4*1.5)</f>
        <v>860</v>
      </c>
      <c r="J4" s="1">
        <f t="shared" ref="J4:J25" si="4">G4+H4</f>
        <v>900</v>
      </c>
      <c r="K4" s="1">
        <f t="shared" ref="K4:K25" si="5">I4*0.1</f>
        <v>86</v>
      </c>
      <c r="L4" s="1">
        <f t="shared" ref="L4:L25" si="6">I4*0.05</f>
        <v>43</v>
      </c>
      <c r="M4" s="1">
        <f t="shared" ref="M4:M25" si="7">J4+K4</f>
        <v>986</v>
      </c>
      <c r="N4" s="1">
        <f t="shared" ref="N4:N25" si="8">I4-L4</f>
        <v>817</v>
      </c>
      <c r="O4" t="s">
        <v>60</v>
      </c>
      <c r="P4" t="s">
        <v>62</v>
      </c>
      <c r="Q4" t="s">
        <v>64</v>
      </c>
      <c r="R4" t="s">
        <v>67</v>
      </c>
    </row>
    <row r="5" spans="1:18" x14ac:dyDescent="0.25">
      <c r="A5" t="s">
        <v>5</v>
      </c>
      <c r="B5" t="s">
        <v>27</v>
      </c>
      <c r="C5" t="s">
        <v>76</v>
      </c>
      <c r="D5" s="1">
        <v>20</v>
      </c>
      <c r="E5">
        <v>49</v>
      </c>
      <c r="F5" s="2">
        <f t="shared" si="0"/>
        <v>9</v>
      </c>
      <c r="G5" s="1">
        <f t="shared" si="1"/>
        <v>980</v>
      </c>
      <c r="H5" s="1">
        <f t="shared" si="2"/>
        <v>270</v>
      </c>
      <c r="I5" s="1">
        <f t="shared" si="3"/>
        <v>1070</v>
      </c>
      <c r="J5" s="1">
        <f t="shared" si="4"/>
        <v>1250</v>
      </c>
      <c r="K5" s="1">
        <f t="shared" si="5"/>
        <v>107</v>
      </c>
      <c r="L5" s="1">
        <f t="shared" si="6"/>
        <v>53.5</v>
      </c>
      <c r="M5" s="1">
        <f t="shared" si="7"/>
        <v>1357</v>
      </c>
      <c r="N5" s="1">
        <f t="shared" si="8"/>
        <v>1016.5</v>
      </c>
      <c r="O5" t="s">
        <v>60</v>
      </c>
      <c r="P5" t="s">
        <v>62</v>
      </c>
      <c r="Q5" t="s">
        <v>64</v>
      </c>
      <c r="R5" t="s">
        <v>67</v>
      </c>
    </row>
    <row r="6" spans="1:18" x14ac:dyDescent="0.25">
      <c r="A6" t="s">
        <v>6</v>
      </c>
      <c r="B6" t="s">
        <v>28</v>
      </c>
      <c r="C6" t="s">
        <v>77</v>
      </c>
      <c r="D6" s="1">
        <v>20</v>
      </c>
      <c r="E6">
        <v>42</v>
      </c>
      <c r="F6" s="2">
        <f t="shared" si="0"/>
        <v>2</v>
      </c>
      <c r="G6" s="1">
        <f t="shared" si="1"/>
        <v>840</v>
      </c>
      <c r="H6" s="1">
        <f t="shared" si="2"/>
        <v>60</v>
      </c>
      <c r="I6" s="1">
        <f t="shared" si="3"/>
        <v>860</v>
      </c>
      <c r="J6" s="1">
        <f t="shared" si="4"/>
        <v>900</v>
      </c>
      <c r="K6" s="1">
        <f t="shared" si="5"/>
        <v>86</v>
      </c>
      <c r="L6" s="1">
        <f t="shared" si="6"/>
        <v>43</v>
      </c>
      <c r="M6" s="1">
        <f t="shared" si="7"/>
        <v>986</v>
      </c>
      <c r="N6" s="1">
        <f t="shared" si="8"/>
        <v>817</v>
      </c>
      <c r="O6" t="s">
        <v>60</v>
      </c>
      <c r="P6" t="s">
        <v>62</v>
      </c>
      <c r="Q6" t="s">
        <v>64</v>
      </c>
      <c r="R6" t="s">
        <v>67</v>
      </c>
    </row>
    <row r="7" spans="1:18" x14ac:dyDescent="0.25">
      <c r="A7" t="s">
        <v>7</v>
      </c>
      <c r="B7" t="s">
        <v>29</v>
      </c>
      <c r="C7" t="s">
        <v>78</v>
      </c>
      <c r="D7" s="1">
        <v>20</v>
      </c>
      <c r="E7">
        <v>39</v>
      </c>
      <c r="F7" s="2">
        <f t="shared" si="0"/>
        <v>0</v>
      </c>
      <c r="G7" s="1">
        <f t="shared" si="1"/>
        <v>780</v>
      </c>
      <c r="H7" s="1">
        <f t="shared" si="2"/>
        <v>0</v>
      </c>
      <c r="I7" s="1">
        <f t="shared" si="3"/>
        <v>800</v>
      </c>
      <c r="J7" s="1">
        <f t="shared" si="4"/>
        <v>780</v>
      </c>
      <c r="K7" s="1">
        <f t="shared" si="5"/>
        <v>80</v>
      </c>
      <c r="L7" s="1">
        <f t="shared" si="6"/>
        <v>40</v>
      </c>
      <c r="M7" s="1">
        <f t="shared" si="7"/>
        <v>860</v>
      </c>
      <c r="N7" s="1">
        <f t="shared" si="8"/>
        <v>760</v>
      </c>
      <c r="O7" t="s">
        <v>60</v>
      </c>
      <c r="P7" t="s">
        <v>62</v>
      </c>
      <c r="Q7" t="s">
        <v>64</v>
      </c>
      <c r="R7" t="s">
        <v>68</v>
      </c>
    </row>
    <row r="8" spans="1:18" x14ac:dyDescent="0.25">
      <c r="A8" t="s">
        <v>8</v>
      </c>
      <c r="B8" t="s">
        <v>30</v>
      </c>
      <c r="C8" t="s">
        <v>74</v>
      </c>
      <c r="D8" s="1">
        <v>20</v>
      </c>
      <c r="E8">
        <v>44</v>
      </c>
      <c r="F8" s="2">
        <f t="shared" si="0"/>
        <v>4</v>
      </c>
      <c r="G8" s="1">
        <f t="shared" si="1"/>
        <v>880</v>
      </c>
      <c r="H8" s="1">
        <f t="shared" si="2"/>
        <v>120</v>
      </c>
      <c r="I8" s="1">
        <f t="shared" si="3"/>
        <v>920</v>
      </c>
      <c r="J8" s="1">
        <f t="shared" si="4"/>
        <v>1000</v>
      </c>
      <c r="K8" s="1">
        <f t="shared" si="5"/>
        <v>92</v>
      </c>
      <c r="L8" s="1">
        <f t="shared" si="6"/>
        <v>46</v>
      </c>
      <c r="M8" s="1">
        <f t="shared" si="7"/>
        <v>1092</v>
      </c>
      <c r="N8" s="1">
        <f t="shared" si="8"/>
        <v>874</v>
      </c>
      <c r="O8" t="s">
        <v>60</v>
      </c>
      <c r="P8" t="s">
        <v>62</v>
      </c>
      <c r="Q8" t="s">
        <v>64</v>
      </c>
      <c r="R8" t="s">
        <v>67</v>
      </c>
    </row>
    <row r="9" spans="1:18" x14ac:dyDescent="0.25">
      <c r="A9" t="s">
        <v>9</v>
      </c>
      <c r="B9" t="s">
        <v>31</v>
      </c>
      <c r="C9" t="s">
        <v>75</v>
      </c>
      <c r="D9" s="1">
        <v>20</v>
      </c>
      <c r="E9">
        <v>55</v>
      </c>
      <c r="F9" s="2">
        <f t="shared" si="0"/>
        <v>15</v>
      </c>
      <c r="G9" s="1">
        <f t="shared" si="1"/>
        <v>1100</v>
      </c>
      <c r="H9" s="1">
        <f t="shared" si="2"/>
        <v>450</v>
      </c>
      <c r="I9" s="1">
        <f t="shared" si="3"/>
        <v>1250</v>
      </c>
      <c r="J9" s="1">
        <f t="shared" si="4"/>
        <v>1550</v>
      </c>
      <c r="K9" s="1">
        <f t="shared" si="5"/>
        <v>125</v>
      </c>
      <c r="L9" s="1">
        <f t="shared" si="6"/>
        <v>62.5</v>
      </c>
      <c r="M9" s="1">
        <f t="shared" si="7"/>
        <v>1675</v>
      </c>
      <c r="N9" s="1">
        <f t="shared" si="8"/>
        <v>1187.5</v>
      </c>
      <c r="O9" t="s">
        <v>60</v>
      </c>
      <c r="P9" t="s">
        <v>62</v>
      </c>
      <c r="Q9" t="s">
        <v>64</v>
      </c>
      <c r="R9" t="s">
        <v>69</v>
      </c>
    </row>
    <row r="10" spans="1:18" x14ac:dyDescent="0.25">
      <c r="A10" t="s">
        <v>4</v>
      </c>
      <c r="B10" t="s">
        <v>32</v>
      </c>
      <c r="C10" t="s">
        <v>79</v>
      </c>
      <c r="D10" s="1">
        <v>20</v>
      </c>
      <c r="E10">
        <v>33</v>
      </c>
      <c r="F10" s="2">
        <f t="shared" si="0"/>
        <v>0</v>
      </c>
      <c r="G10" s="1">
        <f t="shared" si="1"/>
        <v>660</v>
      </c>
      <c r="H10" s="1">
        <f t="shared" si="2"/>
        <v>0</v>
      </c>
      <c r="I10" s="1">
        <f t="shared" si="3"/>
        <v>800</v>
      </c>
      <c r="J10" s="1">
        <f t="shared" si="4"/>
        <v>660</v>
      </c>
      <c r="K10" s="1">
        <f t="shared" si="5"/>
        <v>80</v>
      </c>
      <c r="L10" s="1">
        <f t="shared" si="6"/>
        <v>40</v>
      </c>
      <c r="M10" s="1">
        <f t="shared" si="7"/>
        <v>740</v>
      </c>
      <c r="N10" s="1">
        <f t="shared" si="8"/>
        <v>760</v>
      </c>
      <c r="O10" t="s">
        <v>60</v>
      </c>
      <c r="P10" t="s">
        <v>62</v>
      </c>
      <c r="Q10" t="s">
        <v>64</v>
      </c>
      <c r="R10" t="s">
        <v>70</v>
      </c>
    </row>
    <row r="11" spans="1:18" x14ac:dyDescent="0.25">
      <c r="A11" t="s">
        <v>10</v>
      </c>
      <c r="B11" t="s">
        <v>33</v>
      </c>
      <c r="C11" t="s">
        <v>77</v>
      </c>
      <c r="D11" s="1">
        <v>20</v>
      </c>
      <c r="E11">
        <v>29</v>
      </c>
      <c r="F11" s="2">
        <f t="shared" si="0"/>
        <v>0</v>
      </c>
      <c r="G11" s="1">
        <f t="shared" si="1"/>
        <v>580</v>
      </c>
      <c r="H11" s="1">
        <f t="shared" si="2"/>
        <v>0</v>
      </c>
      <c r="I11" s="1">
        <f t="shared" si="3"/>
        <v>800</v>
      </c>
      <c r="J11" s="1">
        <f t="shared" si="4"/>
        <v>580</v>
      </c>
      <c r="K11" s="1">
        <f t="shared" si="5"/>
        <v>80</v>
      </c>
      <c r="L11" s="1">
        <f t="shared" si="6"/>
        <v>40</v>
      </c>
      <c r="M11" s="1">
        <f t="shared" si="7"/>
        <v>660</v>
      </c>
      <c r="N11" s="1">
        <f t="shared" si="8"/>
        <v>760</v>
      </c>
      <c r="O11" t="s">
        <v>60</v>
      </c>
      <c r="P11" t="s">
        <v>62</v>
      </c>
      <c r="Q11" t="s">
        <v>64</v>
      </c>
      <c r="R11" t="s">
        <v>71</v>
      </c>
    </row>
    <row r="12" spans="1:18" x14ac:dyDescent="0.25">
      <c r="A12" t="s">
        <v>11</v>
      </c>
      <c r="B12" t="s">
        <v>34</v>
      </c>
      <c r="C12" t="s">
        <v>78</v>
      </c>
      <c r="D12" s="1">
        <v>20</v>
      </c>
      <c r="E12">
        <v>40</v>
      </c>
      <c r="F12" s="2">
        <f t="shared" si="0"/>
        <v>0</v>
      </c>
      <c r="G12" s="1">
        <f t="shared" si="1"/>
        <v>800</v>
      </c>
      <c r="H12" s="1">
        <f t="shared" si="2"/>
        <v>0</v>
      </c>
      <c r="I12" s="1">
        <f t="shared" si="3"/>
        <v>800</v>
      </c>
      <c r="J12" s="1">
        <f t="shared" si="4"/>
        <v>800</v>
      </c>
      <c r="K12" s="1">
        <f t="shared" si="5"/>
        <v>80</v>
      </c>
      <c r="L12" s="1">
        <f t="shared" si="6"/>
        <v>40</v>
      </c>
      <c r="M12" s="1">
        <f t="shared" si="7"/>
        <v>880</v>
      </c>
      <c r="N12" s="1">
        <f t="shared" si="8"/>
        <v>760</v>
      </c>
      <c r="O12" t="s">
        <v>60</v>
      </c>
      <c r="P12" t="s">
        <v>62</v>
      </c>
      <c r="Q12" t="s">
        <v>64</v>
      </c>
      <c r="R12" t="s">
        <v>72</v>
      </c>
    </row>
    <row r="13" spans="1:18" x14ac:dyDescent="0.25">
      <c r="A13" t="s">
        <v>12</v>
      </c>
      <c r="B13" t="s">
        <v>35</v>
      </c>
      <c r="C13" t="s">
        <v>78</v>
      </c>
      <c r="D13" s="1">
        <v>20</v>
      </c>
      <c r="E13">
        <v>40</v>
      </c>
      <c r="F13" s="2">
        <f t="shared" si="0"/>
        <v>0</v>
      </c>
      <c r="G13" s="1">
        <f t="shared" si="1"/>
        <v>800</v>
      </c>
      <c r="H13" s="1">
        <f t="shared" si="2"/>
        <v>0</v>
      </c>
      <c r="I13" s="1">
        <f t="shared" si="3"/>
        <v>800</v>
      </c>
      <c r="J13" s="1">
        <f t="shared" si="4"/>
        <v>800</v>
      </c>
      <c r="K13" s="1">
        <f t="shared" si="5"/>
        <v>80</v>
      </c>
      <c r="L13" s="1">
        <f t="shared" si="6"/>
        <v>40</v>
      </c>
      <c r="M13" s="1">
        <f t="shared" si="7"/>
        <v>880</v>
      </c>
      <c r="N13" s="1">
        <f t="shared" si="8"/>
        <v>760</v>
      </c>
      <c r="O13" t="s">
        <v>60</v>
      </c>
      <c r="P13" t="s">
        <v>62</v>
      </c>
      <c r="Q13" t="s">
        <v>64</v>
      </c>
      <c r="R13" t="s">
        <v>72</v>
      </c>
    </row>
    <row r="14" spans="1:18" x14ac:dyDescent="0.25">
      <c r="A14" t="s">
        <v>13</v>
      </c>
      <c r="B14" t="s">
        <v>36</v>
      </c>
      <c r="C14" t="s">
        <v>74</v>
      </c>
      <c r="D14" s="1">
        <v>20</v>
      </c>
      <c r="E14">
        <v>40</v>
      </c>
      <c r="F14" s="2">
        <f t="shared" si="0"/>
        <v>0</v>
      </c>
      <c r="G14" s="1">
        <f t="shared" si="1"/>
        <v>800</v>
      </c>
      <c r="H14" s="1">
        <f t="shared" si="2"/>
        <v>0</v>
      </c>
      <c r="I14" s="1">
        <f t="shared" si="3"/>
        <v>800</v>
      </c>
      <c r="J14" s="1">
        <f t="shared" si="4"/>
        <v>800</v>
      </c>
      <c r="K14" s="1">
        <f t="shared" si="5"/>
        <v>80</v>
      </c>
      <c r="L14" s="1">
        <f t="shared" si="6"/>
        <v>40</v>
      </c>
      <c r="M14" s="1">
        <f t="shared" si="7"/>
        <v>880</v>
      </c>
      <c r="N14" s="1">
        <f t="shared" si="8"/>
        <v>760</v>
      </c>
      <c r="O14" t="s">
        <v>60</v>
      </c>
      <c r="P14" t="s">
        <v>62</v>
      </c>
      <c r="Q14" t="s">
        <v>64</v>
      </c>
      <c r="R14" t="s">
        <v>72</v>
      </c>
    </row>
    <row r="15" spans="1:18" x14ac:dyDescent="0.25">
      <c r="A15" t="s">
        <v>14</v>
      </c>
      <c r="B15" t="s">
        <v>37</v>
      </c>
      <c r="C15" t="s">
        <v>77</v>
      </c>
      <c r="D15" s="1">
        <v>20</v>
      </c>
      <c r="E15">
        <v>42</v>
      </c>
      <c r="F15" s="2">
        <f t="shared" si="0"/>
        <v>2</v>
      </c>
      <c r="G15" s="1">
        <f t="shared" si="1"/>
        <v>840</v>
      </c>
      <c r="H15" s="1">
        <f t="shared" si="2"/>
        <v>60</v>
      </c>
      <c r="I15" s="1">
        <f t="shared" si="3"/>
        <v>860</v>
      </c>
      <c r="J15" s="1">
        <f t="shared" si="4"/>
        <v>900</v>
      </c>
      <c r="K15" s="1">
        <f t="shared" si="5"/>
        <v>86</v>
      </c>
      <c r="L15" s="1">
        <f t="shared" si="6"/>
        <v>43</v>
      </c>
      <c r="M15" s="1">
        <f t="shared" si="7"/>
        <v>986</v>
      </c>
      <c r="N15" s="1">
        <f t="shared" si="8"/>
        <v>817</v>
      </c>
      <c r="O15" t="s">
        <v>60</v>
      </c>
      <c r="P15" t="s">
        <v>62</v>
      </c>
      <c r="Q15" t="s">
        <v>64</v>
      </c>
      <c r="R15" t="s">
        <v>67</v>
      </c>
    </row>
    <row r="16" spans="1:18" x14ac:dyDescent="0.25">
      <c r="A16" t="s">
        <v>15</v>
      </c>
      <c r="B16" t="s">
        <v>38</v>
      </c>
      <c r="C16" t="s">
        <v>76</v>
      </c>
      <c r="D16" s="1">
        <v>20</v>
      </c>
      <c r="E16">
        <v>40</v>
      </c>
      <c r="F16" s="2">
        <f t="shared" si="0"/>
        <v>0</v>
      </c>
      <c r="G16" s="1">
        <f t="shared" si="1"/>
        <v>800</v>
      </c>
      <c r="H16" s="1">
        <f t="shared" si="2"/>
        <v>0</v>
      </c>
      <c r="I16" s="1">
        <f t="shared" si="3"/>
        <v>800</v>
      </c>
      <c r="J16" s="1">
        <f t="shared" si="4"/>
        <v>800</v>
      </c>
      <c r="K16" s="1">
        <f t="shared" si="5"/>
        <v>80</v>
      </c>
      <c r="L16" s="1">
        <f t="shared" si="6"/>
        <v>40</v>
      </c>
      <c r="M16" s="1">
        <f t="shared" si="7"/>
        <v>880</v>
      </c>
      <c r="N16" s="1">
        <f t="shared" si="8"/>
        <v>760</v>
      </c>
      <c r="O16" t="s">
        <v>60</v>
      </c>
      <c r="P16" t="s">
        <v>62</v>
      </c>
      <c r="Q16" t="s">
        <v>64</v>
      </c>
      <c r="R16" t="s">
        <v>72</v>
      </c>
    </row>
    <row r="17" spans="1:18" x14ac:dyDescent="0.25">
      <c r="A17" t="s">
        <v>16</v>
      </c>
      <c r="B17" t="s">
        <v>39</v>
      </c>
      <c r="C17" t="s">
        <v>75</v>
      </c>
      <c r="D17" s="1">
        <v>20</v>
      </c>
      <c r="E17">
        <v>40</v>
      </c>
      <c r="F17" s="2">
        <f t="shared" si="0"/>
        <v>0</v>
      </c>
      <c r="G17" s="1">
        <f t="shared" si="1"/>
        <v>800</v>
      </c>
      <c r="H17" s="1">
        <f t="shared" si="2"/>
        <v>0</v>
      </c>
      <c r="I17" s="1">
        <f t="shared" si="3"/>
        <v>800</v>
      </c>
      <c r="J17" s="1">
        <f t="shared" si="4"/>
        <v>800</v>
      </c>
      <c r="K17" s="1">
        <f t="shared" si="5"/>
        <v>80</v>
      </c>
      <c r="L17" s="1">
        <f t="shared" si="6"/>
        <v>40</v>
      </c>
      <c r="M17" s="1">
        <f t="shared" si="7"/>
        <v>880</v>
      </c>
      <c r="N17" s="1">
        <f t="shared" si="8"/>
        <v>760</v>
      </c>
      <c r="O17" t="s">
        <v>60</v>
      </c>
      <c r="P17" t="s">
        <v>62</v>
      </c>
      <c r="Q17" t="s">
        <v>64</v>
      </c>
      <c r="R17" t="s">
        <v>72</v>
      </c>
    </row>
    <row r="18" spans="1:18" x14ac:dyDescent="0.25">
      <c r="A18" t="s">
        <v>17</v>
      </c>
      <c r="B18" t="s">
        <v>40</v>
      </c>
      <c r="C18" t="s">
        <v>75</v>
      </c>
      <c r="D18" s="1">
        <v>20</v>
      </c>
      <c r="E18">
        <v>41</v>
      </c>
      <c r="F18" s="2">
        <f t="shared" si="0"/>
        <v>1</v>
      </c>
      <c r="G18" s="1">
        <f t="shared" si="1"/>
        <v>820</v>
      </c>
      <c r="H18" s="1">
        <f t="shared" si="2"/>
        <v>30</v>
      </c>
      <c r="I18" s="1">
        <f t="shared" si="3"/>
        <v>830</v>
      </c>
      <c r="J18" s="1">
        <f t="shared" si="4"/>
        <v>850</v>
      </c>
      <c r="K18" s="1">
        <f t="shared" si="5"/>
        <v>83</v>
      </c>
      <c r="L18" s="1">
        <f t="shared" si="6"/>
        <v>41.5</v>
      </c>
      <c r="M18" s="1">
        <f t="shared" si="7"/>
        <v>933</v>
      </c>
      <c r="N18" s="1">
        <f t="shared" si="8"/>
        <v>788.5</v>
      </c>
      <c r="O18" t="s">
        <v>60</v>
      </c>
      <c r="P18" t="s">
        <v>62</v>
      </c>
      <c r="Q18" t="s">
        <v>65</v>
      </c>
      <c r="R18" t="s">
        <v>67</v>
      </c>
    </row>
    <row r="19" spans="1:18" x14ac:dyDescent="0.25">
      <c r="A19" t="s">
        <v>18</v>
      </c>
      <c r="B19" t="s">
        <v>24</v>
      </c>
      <c r="C19" t="s">
        <v>74</v>
      </c>
      <c r="D19" s="1">
        <v>20</v>
      </c>
      <c r="E19">
        <v>39</v>
      </c>
      <c r="F19" s="2">
        <f t="shared" si="0"/>
        <v>0</v>
      </c>
      <c r="G19" s="1">
        <f t="shared" si="1"/>
        <v>780</v>
      </c>
      <c r="H19" s="1">
        <f t="shared" si="2"/>
        <v>0</v>
      </c>
      <c r="I19" s="1">
        <f t="shared" si="3"/>
        <v>800</v>
      </c>
      <c r="J19" s="1">
        <f t="shared" si="4"/>
        <v>780</v>
      </c>
      <c r="K19" s="1">
        <f t="shared" si="5"/>
        <v>80</v>
      </c>
      <c r="L19" s="1">
        <f t="shared" si="6"/>
        <v>40</v>
      </c>
      <c r="M19" s="1">
        <f t="shared" si="7"/>
        <v>860</v>
      </c>
      <c r="N19" s="1">
        <f t="shared" si="8"/>
        <v>760</v>
      </c>
      <c r="O19" t="s">
        <v>60</v>
      </c>
      <c r="P19" t="s">
        <v>62</v>
      </c>
      <c r="Q19" t="s">
        <v>64</v>
      </c>
      <c r="R19" t="s">
        <v>71</v>
      </c>
    </row>
    <row r="20" spans="1:18" x14ac:dyDescent="0.25">
      <c r="A20" t="s">
        <v>41</v>
      </c>
      <c r="B20" t="s">
        <v>47</v>
      </c>
      <c r="C20" t="s">
        <v>77</v>
      </c>
      <c r="D20" s="1">
        <v>20</v>
      </c>
      <c r="E20">
        <v>20</v>
      </c>
      <c r="F20" s="2">
        <f t="shared" si="0"/>
        <v>0</v>
      </c>
      <c r="G20" s="1">
        <f t="shared" si="1"/>
        <v>400</v>
      </c>
      <c r="H20" s="1">
        <f t="shared" si="2"/>
        <v>0</v>
      </c>
      <c r="I20" s="1">
        <f t="shared" si="3"/>
        <v>800</v>
      </c>
      <c r="J20" s="1">
        <f t="shared" si="4"/>
        <v>400</v>
      </c>
      <c r="K20" s="1">
        <f t="shared" si="5"/>
        <v>80</v>
      </c>
      <c r="L20" s="1">
        <f t="shared" si="6"/>
        <v>40</v>
      </c>
      <c r="M20" s="1">
        <f t="shared" si="7"/>
        <v>480</v>
      </c>
      <c r="N20" s="1">
        <f t="shared" si="8"/>
        <v>760</v>
      </c>
      <c r="O20" t="s">
        <v>60</v>
      </c>
      <c r="P20" t="s">
        <v>62</v>
      </c>
      <c r="Q20" t="s">
        <v>64</v>
      </c>
      <c r="R20" t="s">
        <v>71</v>
      </c>
    </row>
    <row r="21" spans="1:18" x14ac:dyDescent="0.25">
      <c r="A21" t="s">
        <v>42</v>
      </c>
      <c r="B21" t="s">
        <v>48</v>
      </c>
      <c r="C21" t="s">
        <v>76</v>
      </c>
      <c r="D21" s="1">
        <v>20</v>
      </c>
      <c r="E21">
        <v>10</v>
      </c>
      <c r="F21" s="2">
        <f t="shared" si="0"/>
        <v>0</v>
      </c>
      <c r="G21" s="1">
        <f t="shared" si="1"/>
        <v>200</v>
      </c>
      <c r="H21" s="1">
        <f t="shared" si="2"/>
        <v>0</v>
      </c>
      <c r="I21" s="1">
        <f t="shared" si="3"/>
        <v>800</v>
      </c>
      <c r="J21" s="1">
        <f t="shared" si="4"/>
        <v>200</v>
      </c>
      <c r="K21" s="1">
        <f t="shared" si="5"/>
        <v>80</v>
      </c>
      <c r="L21" s="1">
        <f t="shared" si="6"/>
        <v>40</v>
      </c>
      <c r="M21" s="1">
        <f t="shared" si="7"/>
        <v>280</v>
      </c>
      <c r="N21" s="1">
        <f t="shared" si="8"/>
        <v>760</v>
      </c>
      <c r="O21" t="s">
        <v>60</v>
      </c>
      <c r="P21" t="s">
        <v>62</v>
      </c>
      <c r="Q21" t="s">
        <v>64</v>
      </c>
      <c r="R21" t="s">
        <v>71</v>
      </c>
    </row>
    <row r="22" spans="1:18" x14ac:dyDescent="0.25">
      <c r="A22" t="s">
        <v>43</v>
      </c>
      <c r="B22" t="s">
        <v>49</v>
      </c>
      <c r="C22" t="s">
        <v>75</v>
      </c>
      <c r="D22" s="1">
        <v>20</v>
      </c>
      <c r="E22">
        <v>60</v>
      </c>
      <c r="F22" s="2">
        <f t="shared" si="0"/>
        <v>20</v>
      </c>
      <c r="G22" s="1">
        <f t="shared" si="1"/>
        <v>1200</v>
      </c>
      <c r="H22" s="1">
        <f t="shared" si="2"/>
        <v>600</v>
      </c>
      <c r="I22" s="1">
        <f t="shared" si="3"/>
        <v>1400</v>
      </c>
      <c r="J22" s="1">
        <f t="shared" si="4"/>
        <v>1800</v>
      </c>
      <c r="K22" s="1">
        <f t="shared" si="5"/>
        <v>140</v>
      </c>
      <c r="L22" s="1">
        <f t="shared" si="6"/>
        <v>70</v>
      </c>
      <c r="M22" s="1">
        <f t="shared" si="7"/>
        <v>1940</v>
      </c>
      <c r="N22" s="1">
        <f t="shared" si="8"/>
        <v>1330</v>
      </c>
      <c r="O22" t="s">
        <v>60</v>
      </c>
      <c r="P22" t="s">
        <v>62</v>
      </c>
      <c r="Q22" t="s">
        <v>64</v>
      </c>
      <c r="R22" t="s">
        <v>69</v>
      </c>
    </row>
    <row r="23" spans="1:18" x14ac:dyDescent="0.25">
      <c r="A23" t="s">
        <v>44</v>
      </c>
      <c r="B23" t="s">
        <v>50</v>
      </c>
      <c r="C23" t="s">
        <v>74</v>
      </c>
      <c r="D23" s="1">
        <v>20</v>
      </c>
      <c r="E23">
        <v>40</v>
      </c>
      <c r="F23" s="2">
        <f t="shared" si="0"/>
        <v>0</v>
      </c>
      <c r="G23" s="1">
        <f t="shared" si="1"/>
        <v>800</v>
      </c>
      <c r="H23" s="1">
        <f t="shared" si="2"/>
        <v>0</v>
      </c>
      <c r="I23" s="1">
        <f t="shared" si="3"/>
        <v>800</v>
      </c>
      <c r="J23" s="1">
        <f t="shared" si="4"/>
        <v>800</v>
      </c>
      <c r="K23" s="1">
        <f t="shared" si="5"/>
        <v>80</v>
      </c>
      <c r="L23" s="1">
        <f t="shared" si="6"/>
        <v>40</v>
      </c>
      <c r="M23" s="1">
        <f t="shared" si="7"/>
        <v>880</v>
      </c>
      <c r="N23" s="1">
        <f t="shared" si="8"/>
        <v>760</v>
      </c>
      <c r="O23" t="s">
        <v>60</v>
      </c>
      <c r="P23" t="s">
        <v>62</v>
      </c>
      <c r="Q23" t="s">
        <v>64</v>
      </c>
      <c r="R23" t="s">
        <v>72</v>
      </c>
    </row>
    <row r="24" spans="1:18" x14ac:dyDescent="0.25">
      <c r="A24" t="s">
        <v>45</v>
      </c>
      <c r="B24" t="s">
        <v>51</v>
      </c>
      <c r="C24" t="s">
        <v>78</v>
      </c>
      <c r="D24" s="1">
        <v>20</v>
      </c>
      <c r="E24">
        <v>28</v>
      </c>
      <c r="F24" s="2">
        <f t="shared" si="0"/>
        <v>0</v>
      </c>
      <c r="G24" s="1">
        <f t="shared" si="1"/>
        <v>560</v>
      </c>
      <c r="H24" s="1">
        <f t="shared" si="2"/>
        <v>0</v>
      </c>
      <c r="I24" s="1">
        <f t="shared" si="3"/>
        <v>800</v>
      </c>
      <c r="J24" s="1">
        <f t="shared" si="4"/>
        <v>560</v>
      </c>
      <c r="K24" s="1">
        <f t="shared" si="5"/>
        <v>80</v>
      </c>
      <c r="L24" s="1">
        <f t="shared" si="6"/>
        <v>40</v>
      </c>
      <c r="M24" s="1">
        <f t="shared" si="7"/>
        <v>640</v>
      </c>
      <c r="N24" s="1">
        <f t="shared" si="8"/>
        <v>760</v>
      </c>
      <c r="O24" t="s">
        <v>60</v>
      </c>
      <c r="P24" t="s">
        <v>62</v>
      </c>
      <c r="Q24" t="s">
        <v>64</v>
      </c>
      <c r="R24" t="s">
        <v>71</v>
      </c>
    </row>
    <row r="25" spans="1:18" x14ac:dyDescent="0.25">
      <c r="A25" t="s">
        <v>46</v>
      </c>
      <c r="B25" t="s">
        <v>52</v>
      </c>
      <c r="C25" t="s">
        <v>74</v>
      </c>
      <c r="D25" s="1">
        <v>20</v>
      </c>
      <c r="E25">
        <v>17</v>
      </c>
      <c r="F25" s="2">
        <f t="shared" si="0"/>
        <v>0</v>
      </c>
      <c r="G25" s="1">
        <f t="shared" si="1"/>
        <v>340</v>
      </c>
      <c r="H25" s="1">
        <f t="shared" si="2"/>
        <v>0</v>
      </c>
      <c r="I25" s="1">
        <f t="shared" si="3"/>
        <v>800</v>
      </c>
      <c r="J25" s="1">
        <f t="shared" si="4"/>
        <v>340</v>
      </c>
      <c r="K25" s="1">
        <f t="shared" si="5"/>
        <v>80</v>
      </c>
      <c r="L25" s="1">
        <f t="shared" si="6"/>
        <v>40</v>
      </c>
      <c r="M25" s="1">
        <f t="shared" si="7"/>
        <v>420</v>
      </c>
      <c r="N25" s="1">
        <f t="shared" si="8"/>
        <v>760</v>
      </c>
      <c r="O25" t="s">
        <v>60</v>
      </c>
      <c r="P25" t="s">
        <v>62</v>
      </c>
      <c r="Q25" t="s">
        <v>64</v>
      </c>
      <c r="R2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2026-02-25T14:25:11Z</dcterms:created>
  <dcterms:modified xsi:type="dcterms:W3CDTF">2026-03-31T03:49:13Z</dcterms:modified>
</cp:coreProperties>
</file>